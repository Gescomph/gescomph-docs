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4" i="1" l="1"/>
  <c r="Q24" i="1"/>
</calcChain>
</file>

<file path=xl/sharedStrings.xml><?xml version="1.0" encoding="utf-8"?>
<sst xmlns="http://schemas.openxmlformats.org/spreadsheetml/2006/main" count="120" uniqueCount="100">
  <si>
    <t>Usuarios</t>
  </si>
  <si>
    <t>Id</t>
  </si>
  <si>
    <t>Nombre</t>
  </si>
  <si>
    <t>Apellido</t>
  </si>
  <si>
    <t>Correo</t>
  </si>
  <si>
    <t>Contraseña</t>
  </si>
  <si>
    <t>Tipo_documento</t>
  </si>
  <si>
    <t>numero_documento</t>
  </si>
  <si>
    <t>Telefono</t>
  </si>
  <si>
    <t>Direccion</t>
  </si>
  <si>
    <t>Rol_id</t>
  </si>
  <si>
    <t>Rol</t>
  </si>
  <si>
    <t>Marcos</t>
  </si>
  <si>
    <t>jesus</t>
  </si>
  <si>
    <t>Maria</t>
  </si>
  <si>
    <t>Fernanda</t>
  </si>
  <si>
    <t>David</t>
  </si>
  <si>
    <t>Rojas</t>
  </si>
  <si>
    <t>Fierro</t>
  </si>
  <si>
    <t>Losada</t>
  </si>
  <si>
    <t>Silva</t>
  </si>
  <si>
    <t>Rivera</t>
  </si>
  <si>
    <t>marcosrojas@gmail.com</t>
  </si>
  <si>
    <t>jesusfierro@gmail.com</t>
  </si>
  <si>
    <t>marialosada@gmail.com</t>
  </si>
  <si>
    <t>fernandasilva@gmail.com</t>
  </si>
  <si>
    <t>davidrivera@gmail.com</t>
  </si>
  <si>
    <t>cc</t>
  </si>
  <si>
    <t>ti</t>
  </si>
  <si>
    <t>casa 1</t>
  </si>
  <si>
    <t>casa 2</t>
  </si>
  <si>
    <t>casa 3</t>
  </si>
  <si>
    <t>casa 4</t>
  </si>
  <si>
    <t>casa 5</t>
  </si>
  <si>
    <t>Arrendatario</t>
  </si>
  <si>
    <t>Parametros</t>
  </si>
  <si>
    <t>id</t>
  </si>
  <si>
    <t>nombre</t>
  </si>
  <si>
    <t>descripcion</t>
  </si>
  <si>
    <t>valor</t>
  </si>
  <si>
    <t>Iva</t>
  </si>
  <si>
    <t>Uvt</t>
  </si>
  <si>
    <t>Mora</t>
  </si>
  <si>
    <t>asdasdadad</t>
  </si>
  <si>
    <t>asasdaadsda</t>
  </si>
  <si>
    <t>0.08</t>
  </si>
  <si>
    <t>usario_Id</t>
  </si>
  <si>
    <t>parametro_Id</t>
  </si>
  <si>
    <t>fecha_modificacion</t>
  </si>
  <si>
    <t>parametro_editar</t>
  </si>
  <si>
    <t>Propiedades</t>
  </si>
  <si>
    <t>direccion</t>
  </si>
  <si>
    <t>Plaza de mercado</t>
  </si>
  <si>
    <t>Arrendamiento de muebles e inmuebles</t>
  </si>
  <si>
    <t>Edificio Municipal Nuevo</t>
  </si>
  <si>
    <t>Edificio Municipal antiguo</t>
  </si>
  <si>
    <t>centro cultural reinaldo polania</t>
  </si>
  <si>
    <t>locales eje ambiental el madroño</t>
  </si>
  <si>
    <t>calle 1</t>
  </si>
  <si>
    <t>calle 2</t>
  </si>
  <si>
    <t>calle 3</t>
  </si>
  <si>
    <t>calle 4</t>
  </si>
  <si>
    <t>calle 5</t>
  </si>
  <si>
    <t>calle 6</t>
  </si>
  <si>
    <t>uvt</t>
  </si>
  <si>
    <t>tiempo_pago</t>
  </si>
  <si>
    <t>propiedad_id</t>
  </si>
  <si>
    <t>Locales</t>
  </si>
  <si>
    <t>Depositos</t>
  </si>
  <si>
    <t>Bares</t>
  </si>
  <si>
    <t>restaurantes</t>
  </si>
  <si>
    <t>2.5</t>
  </si>
  <si>
    <t>6.2</t>
  </si>
  <si>
    <t>3.0</t>
  </si>
  <si>
    <t>Mensual</t>
  </si>
  <si>
    <t>tipo_establecimiento</t>
  </si>
  <si>
    <t>establecimientos</t>
  </si>
  <si>
    <t>nit</t>
  </si>
  <si>
    <t>tipo_establecimento_id</t>
  </si>
  <si>
    <t>estado</t>
  </si>
  <si>
    <t>carrera 1</t>
  </si>
  <si>
    <t>carrera 2</t>
  </si>
  <si>
    <t>carrera 3</t>
  </si>
  <si>
    <t>carrera 4</t>
  </si>
  <si>
    <t>disponible</t>
  </si>
  <si>
    <t>ocupado</t>
  </si>
  <si>
    <t>en mora</t>
  </si>
  <si>
    <t>Deudas</t>
  </si>
  <si>
    <t>usuario_id</t>
  </si>
  <si>
    <t>establecimiento_id</t>
  </si>
  <si>
    <t>mes</t>
  </si>
  <si>
    <t>valor_bruto</t>
  </si>
  <si>
    <t>valor_iva</t>
  </si>
  <si>
    <t>valor_interes</t>
  </si>
  <si>
    <t>total_deuda</t>
  </si>
  <si>
    <t>febrero</t>
  </si>
  <si>
    <t>marzo</t>
  </si>
  <si>
    <t>mayo</t>
  </si>
  <si>
    <t>abril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</si>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</sst>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2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losada@gmail.com" TargetMode="External"/><Relationship Id="rId2" Type="http://schemas.openxmlformats.org/officeDocument/2006/relationships/hyperlink" Target="mailto:jesusfierro@gmail.com" TargetMode="External"/><Relationship Id="rId1" Type="http://schemas.openxmlformats.org/officeDocument/2006/relationships/hyperlink" Target="mailto:marcosrojas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avidrivera@gmail.com" TargetMode="External"/><Relationship Id="rId4" Type="http://schemas.openxmlformats.org/officeDocument/2006/relationships/hyperlink" Target="mailto:fernandasilv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27"/>
  <sheetViews>
    <sheetView tabSelected="1" topLeftCell="G6" zoomScale="85" zoomScaleNormal="85" workbookViewId="0">
      <selection activeCell="S24" sqref="S24"/>
    </sheetView>
  </sheetViews>
  <sheetFormatPr baseColWidth="10" defaultColWidth="9.140625" defaultRowHeight="15" x14ac:dyDescent="0.25"/>
  <cols>
    <col min="4" max="4" width="13.85546875" customWidth="1"/>
    <col min="5" max="5" width="13" customWidth="1"/>
    <col min="6" max="6" width="24.28515625" customWidth="1"/>
    <col min="7" max="7" width="12.7109375" customWidth="1"/>
    <col min="8" max="8" width="16" customWidth="1"/>
    <col min="9" max="9" width="20.85546875" customWidth="1"/>
    <col min="10" max="10" width="16.85546875" customWidth="1"/>
    <col min="11" max="11" width="20.42578125" customWidth="1"/>
    <col min="12" max="12" width="12.42578125" customWidth="1"/>
    <col min="13" max="13" width="14.7109375" customWidth="1"/>
    <col min="14" max="14" width="13.7109375" customWidth="1"/>
    <col min="15" max="15" width="20.140625" customWidth="1"/>
    <col min="16" max="16" width="11" customWidth="1"/>
    <col min="17" max="17" width="19.85546875" customWidth="1"/>
    <col min="18" max="18" width="13.42578125" customWidth="1"/>
    <col min="19" max="19" width="15.5703125" customWidth="1"/>
    <col min="20" max="20" width="11.5703125" customWidth="1"/>
    <col min="21" max="21" width="11.42578125" customWidth="1"/>
  </cols>
  <sheetData>
    <row r="3" spans="3:18" x14ac:dyDescent="0.25">
      <c r="C3" s="2" t="s">
        <v>0</v>
      </c>
      <c r="D3" s="3"/>
      <c r="E3" s="3"/>
      <c r="F3" s="3"/>
      <c r="G3" s="3"/>
      <c r="H3" s="3"/>
      <c r="I3" s="3"/>
      <c r="J3" s="3"/>
      <c r="K3" s="3"/>
      <c r="L3" s="4"/>
      <c r="N3" s="11" t="s">
        <v>75</v>
      </c>
      <c r="O3" s="11"/>
      <c r="P3" s="11"/>
      <c r="Q3" s="11"/>
      <c r="R3" s="11"/>
    </row>
    <row r="4" spans="3:18" ht="30" x14ac:dyDescent="0.25"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N4" s="12" t="s">
        <v>36</v>
      </c>
      <c r="O4" s="12" t="s">
        <v>37</v>
      </c>
      <c r="P4" s="12" t="s">
        <v>64</v>
      </c>
      <c r="Q4" s="12" t="s">
        <v>65</v>
      </c>
      <c r="R4" s="12" t="s">
        <v>66</v>
      </c>
    </row>
    <row r="5" spans="3:18" x14ac:dyDescent="0.25">
      <c r="C5" s="1">
        <v>1</v>
      </c>
      <c r="D5" s="1" t="s">
        <v>12</v>
      </c>
      <c r="E5" s="1" t="s">
        <v>17</v>
      </c>
      <c r="F5" s="6" t="s">
        <v>22</v>
      </c>
      <c r="G5" s="1">
        <v>123</v>
      </c>
      <c r="H5" s="1" t="s">
        <v>27</v>
      </c>
      <c r="I5" s="1">
        <v>1213243445</v>
      </c>
      <c r="J5" s="1">
        <v>354354353</v>
      </c>
      <c r="K5" s="1" t="s">
        <v>29</v>
      </c>
      <c r="L5" s="1">
        <v>1</v>
      </c>
      <c r="N5" s="9">
        <v>1</v>
      </c>
      <c r="O5" s="9" t="s">
        <v>67</v>
      </c>
      <c r="P5" s="24">
        <v>2.7</v>
      </c>
      <c r="Q5" s="9" t="s">
        <v>74</v>
      </c>
      <c r="R5" s="9">
        <v>1</v>
      </c>
    </row>
    <row r="6" spans="3:18" x14ac:dyDescent="0.25">
      <c r="C6" s="1">
        <v>2</v>
      </c>
      <c r="D6" s="1" t="s">
        <v>13</v>
      </c>
      <c r="E6" s="1" t="s">
        <v>18</v>
      </c>
      <c r="F6" s="6" t="s">
        <v>23</v>
      </c>
      <c r="G6" s="1">
        <v>456</v>
      </c>
      <c r="H6" s="1" t="s">
        <v>27</v>
      </c>
      <c r="I6" s="1">
        <v>123246787</v>
      </c>
      <c r="J6" s="1">
        <v>345345345</v>
      </c>
      <c r="K6" s="1" t="s">
        <v>30</v>
      </c>
      <c r="L6" s="1">
        <v>1</v>
      </c>
      <c r="N6" s="9">
        <v>2</v>
      </c>
      <c r="O6" s="9" t="s">
        <v>68</v>
      </c>
      <c r="P6" s="22" t="s">
        <v>71</v>
      </c>
      <c r="Q6" s="9" t="s">
        <v>74</v>
      </c>
      <c r="R6" s="9">
        <v>1</v>
      </c>
    </row>
    <row r="7" spans="3:18" x14ac:dyDescent="0.25">
      <c r="C7" s="1">
        <v>3</v>
      </c>
      <c r="D7" s="1" t="s">
        <v>14</v>
      </c>
      <c r="E7" s="1" t="s">
        <v>19</v>
      </c>
      <c r="F7" s="6" t="s">
        <v>24</v>
      </c>
      <c r="G7" s="1">
        <v>789</v>
      </c>
      <c r="H7" s="1" t="s">
        <v>27</v>
      </c>
      <c r="I7" s="1">
        <v>345657567</v>
      </c>
      <c r="J7" s="1">
        <v>353454353</v>
      </c>
      <c r="K7" s="1" t="s">
        <v>31</v>
      </c>
      <c r="L7" s="1">
        <v>1</v>
      </c>
      <c r="N7" s="9">
        <v>3</v>
      </c>
      <c r="O7" s="9" t="s">
        <v>69</v>
      </c>
      <c r="P7" s="9" t="s">
        <v>72</v>
      </c>
      <c r="Q7" s="9" t="s">
        <v>74</v>
      </c>
      <c r="R7" s="9">
        <v>2</v>
      </c>
    </row>
    <row r="8" spans="3:18" x14ac:dyDescent="0.25">
      <c r="C8" s="1">
        <v>4</v>
      </c>
      <c r="D8" s="1" t="s">
        <v>15</v>
      </c>
      <c r="E8" s="1" t="s">
        <v>20</v>
      </c>
      <c r="F8" s="6" t="s">
        <v>25</v>
      </c>
      <c r="G8" s="1">
        <v>987</v>
      </c>
      <c r="H8" s="1" t="s">
        <v>28</v>
      </c>
      <c r="I8" s="1">
        <v>4564564645</v>
      </c>
      <c r="J8" s="1">
        <v>354345345</v>
      </c>
      <c r="K8" s="1" t="s">
        <v>32</v>
      </c>
      <c r="L8" s="1">
        <v>2</v>
      </c>
      <c r="N8" s="9">
        <v>4</v>
      </c>
      <c r="O8" s="9" t="s">
        <v>70</v>
      </c>
      <c r="P8" s="9" t="s">
        <v>73</v>
      </c>
      <c r="Q8" s="9" t="s">
        <v>74</v>
      </c>
      <c r="R8" s="9">
        <v>3</v>
      </c>
    </row>
    <row r="9" spans="3:18" x14ac:dyDescent="0.25">
      <c r="C9" s="1">
        <v>5</v>
      </c>
      <c r="D9" s="1" t="s">
        <v>16</v>
      </c>
      <c r="E9" s="1" t="s">
        <v>21</v>
      </c>
      <c r="F9" s="6" t="s">
        <v>26</v>
      </c>
      <c r="G9" s="1">
        <v>654</v>
      </c>
      <c r="H9" s="1" t="s">
        <v>27</v>
      </c>
      <c r="I9" s="1">
        <v>45645645645</v>
      </c>
      <c r="J9" s="1">
        <v>353453453</v>
      </c>
      <c r="K9" s="1" t="s">
        <v>33</v>
      </c>
      <c r="L9" s="1">
        <v>1</v>
      </c>
    </row>
    <row r="12" spans="3:18" ht="21.75" customHeight="1" x14ac:dyDescent="0.25">
      <c r="C12" s="2" t="s">
        <v>11</v>
      </c>
      <c r="D12" s="4"/>
      <c r="H12" s="16" t="s">
        <v>49</v>
      </c>
      <c r="I12" s="17"/>
      <c r="J12" s="17"/>
      <c r="K12" s="18"/>
      <c r="M12" s="13" t="s">
        <v>76</v>
      </c>
      <c r="N12" s="14"/>
      <c r="O12" s="14"/>
      <c r="P12" s="14"/>
      <c r="Q12" s="15"/>
    </row>
    <row r="13" spans="3:18" ht="30" x14ac:dyDescent="0.25">
      <c r="C13" s="5" t="s">
        <v>1</v>
      </c>
      <c r="D13" s="5" t="s">
        <v>2</v>
      </c>
      <c r="H13" s="5" t="s">
        <v>36</v>
      </c>
      <c r="I13" s="5" t="s">
        <v>46</v>
      </c>
      <c r="J13" s="5" t="s">
        <v>47</v>
      </c>
      <c r="K13" s="5" t="s">
        <v>48</v>
      </c>
      <c r="M13" s="12" t="s">
        <v>36</v>
      </c>
      <c r="N13" s="12" t="s">
        <v>77</v>
      </c>
      <c r="O13" s="12" t="s">
        <v>78</v>
      </c>
      <c r="P13" s="12" t="s">
        <v>51</v>
      </c>
      <c r="Q13" s="12" t="s">
        <v>79</v>
      </c>
    </row>
    <row r="14" spans="3:18" x14ac:dyDescent="0.25">
      <c r="C14" s="1">
        <v>1</v>
      </c>
      <c r="D14" s="1" t="s">
        <v>34</v>
      </c>
      <c r="H14" s="1">
        <v>1</v>
      </c>
      <c r="I14" s="1">
        <v>2</v>
      </c>
      <c r="J14" s="1">
        <v>1</v>
      </c>
      <c r="K14" s="7">
        <v>45724.475694444445</v>
      </c>
      <c r="M14" s="9">
        <v>1</v>
      </c>
      <c r="N14" s="9">
        <v>454723</v>
      </c>
      <c r="O14" s="9">
        <v>2</v>
      </c>
      <c r="P14" s="9" t="s">
        <v>80</v>
      </c>
      <c r="Q14" s="9" t="s">
        <v>84</v>
      </c>
    </row>
    <row r="15" spans="3:18" x14ac:dyDescent="0.25">
      <c r="C15" s="1">
        <v>2</v>
      </c>
      <c r="D15" s="1"/>
      <c r="H15" s="1">
        <v>2</v>
      </c>
      <c r="I15" s="1">
        <v>2</v>
      </c>
      <c r="J15" s="1">
        <v>2</v>
      </c>
      <c r="K15" s="7">
        <v>45725.475694444445</v>
      </c>
      <c r="M15" s="9">
        <v>2</v>
      </c>
      <c r="N15" s="9">
        <v>45643423</v>
      </c>
      <c r="O15" s="9">
        <v>2</v>
      </c>
      <c r="P15" s="9" t="s">
        <v>81</v>
      </c>
      <c r="Q15" s="9" t="s">
        <v>85</v>
      </c>
    </row>
    <row r="16" spans="3:18" x14ac:dyDescent="0.25">
      <c r="H16" s="1">
        <v>3</v>
      </c>
      <c r="I16" s="1">
        <v>2</v>
      </c>
      <c r="J16" s="1">
        <v>3</v>
      </c>
      <c r="K16" s="7">
        <v>45726.475694444445</v>
      </c>
      <c r="M16" s="9">
        <v>3</v>
      </c>
      <c r="N16" s="9">
        <v>45545778</v>
      </c>
      <c r="O16" s="9">
        <v>1</v>
      </c>
      <c r="P16" s="9" t="s">
        <v>82</v>
      </c>
      <c r="Q16" s="9" t="s">
        <v>86</v>
      </c>
    </row>
    <row r="17" spans="3:21" x14ac:dyDescent="0.25">
      <c r="C17" s="2" t="s">
        <v>35</v>
      </c>
      <c r="D17" s="3"/>
      <c r="E17" s="3"/>
      <c r="F17" s="4"/>
      <c r="M17" s="9">
        <v>4</v>
      </c>
      <c r="N17" s="9">
        <v>7657756</v>
      </c>
      <c r="O17" s="9">
        <v>3</v>
      </c>
      <c r="P17" s="9" t="s">
        <v>83</v>
      </c>
      <c r="Q17" s="9" t="s">
        <v>84</v>
      </c>
    </row>
    <row r="18" spans="3:21" x14ac:dyDescent="0.25">
      <c r="C18" s="5" t="s">
        <v>36</v>
      </c>
      <c r="D18" s="5" t="s">
        <v>37</v>
      </c>
      <c r="E18" s="5" t="s">
        <v>38</v>
      </c>
      <c r="F18" s="5" t="s">
        <v>39</v>
      </c>
    </row>
    <row r="19" spans="3:21" x14ac:dyDescent="0.25">
      <c r="C19" s="1">
        <v>1</v>
      </c>
      <c r="D19" s="1" t="s">
        <v>40</v>
      </c>
      <c r="E19" s="1" t="s">
        <v>43</v>
      </c>
      <c r="F19" s="23">
        <v>0.12</v>
      </c>
    </row>
    <row r="20" spans="3:21" x14ac:dyDescent="0.25">
      <c r="C20" s="1">
        <v>2</v>
      </c>
      <c r="D20" s="1" t="s">
        <v>41</v>
      </c>
      <c r="E20" s="1" t="s">
        <v>43</v>
      </c>
      <c r="F20" s="23">
        <v>49799</v>
      </c>
      <c r="H20" s="2" t="s">
        <v>50</v>
      </c>
      <c r="I20" s="3"/>
      <c r="J20" s="4"/>
      <c r="M20" s="13" t="s">
        <v>87</v>
      </c>
      <c r="N20" s="14"/>
      <c r="O20" s="14"/>
      <c r="P20" s="14"/>
      <c r="Q20" s="14"/>
      <c r="R20" s="14"/>
      <c r="S20" s="14"/>
      <c r="T20" s="14"/>
      <c r="U20" s="15"/>
    </row>
    <row r="21" spans="3:21" ht="30" x14ac:dyDescent="0.25">
      <c r="C21" s="1">
        <v>3</v>
      </c>
      <c r="D21" s="1" t="s">
        <v>42</v>
      </c>
      <c r="E21" s="1" t="s">
        <v>44</v>
      </c>
      <c r="F21" s="1" t="s">
        <v>45</v>
      </c>
      <c r="H21" s="5" t="s">
        <v>36</v>
      </c>
      <c r="I21" s="5" t="s">
        <v>37</v>
      </c>
      <c r="J21" s="5" t="s">
        <v>51</v>
      </c>
      <c r="M21" s="12" t="s">
        <v>36</v>
      </c>
      <c r="N21" s="12" t="s">
        <v>88</v>
      </c>
      <c r="O21" s="12" t="s">
        <v>89</v>
      </c>
      <c r="P21" s="12" t="s">
        <v>90</v>
      </c>
      <c r="Q21" s="12" t="s">
        <v>91</v>
      </c>
      <c r="R21" s="12" t="s">
        <v>92</v>
      </c>
      <c r="S21" s="12" t="s">
        <v>93</v>
      </c>
      <c r="T21" s="12" t="s">
        <v>94</v>
      </c>
      <c r="U21" s="12" t="s">
        <v>79</v>
      </c>
    </row>
    <row r="22" spans="3:21" ht="19.5" customHeight="1" x14ac:dyDescent="0.25">
      <c r="H22" s="1">
        <v>1</v>
      </c>
      <c r="I22" s="1" t="s">
        <v>52</v>
      </c>
      <c r="J22" s="1" t="s">
        <v>58</v>
      </c>
      <c r="M22" s="19">
        <v>1</v>
      </c>
      <c r="N22" s="19">
        <v>1</v>
      </c>
      <c r="O22" s="19">
        <v>1</v>
      </c>
      <c r="P22" s="19" t="s">
        <v>95</v>
      </c>
      <c r="Q22" s="20">
        <v>404000</v>
      </c>
      <c r="R22" s="20">
        <v>76760</v>
      </c>
      <c r="S22" s="20">
        <v>32320</v>
      </c>
      <c r="T22" s="20">
        <v>513080</v>
      </c>
      <c r="U22" s="19" t="s">
        <v>99</v>
      </c>
    </row>
    <row r="23" spans="3:21" ht="30.75" customHeight="1" x14ac:dyDescent="0.25">
      <c r="H23" s="9">
        <v>2</v>
      </c>
      <c r="I23" s="8" t="s">
        <v>53</v>
      </c>
      <c r="J23" s="1" t="s">
        <v>59</v>
      </c>
      <c r="M23" s="9">
        <v>2</v>
      </c>
      <c r="N23" s="9">
        <v>1</v>
      </c>
      <c r="O23" s="9">
        <v>2</v>
      </c>
      <c r="P23" s="9" t="s">
        <v>96</v>
      </c>
      <c r="Q23" s="20">
        <v>404000</v>
      </c>
      <c r="R23" s="20">
        <v>76760</v>
      </c>
      <c r="S23" s="9">
        <v>0</v>
      </c>
      <c r="T23" s="21">
        <v>480760</v>
      </c>
      <c r="U23" s="9" t="s">
        <v>99</v>
      </c>
    </row>
    <row r="24" spans="3:21" ht="36" customHeight="1" x14ac:dyDescent="0.25">
      <c r="H24" s="9">
        <v>3</v>
      </c>
      <c r="I24" s="8" t="s">
        <v>54</v>
      </c>
      <c r="J24" s="1" t="s">
        <v>60</v>
      </c>
      <c r="M24" s="9">
        <v>3</v>
      </c>
      <c r="N24" s="9">
        <v>2</v>
      </c>
      <c r="O24" s="9">
        <v>3</v>
      </c>
      <c r="P24" s="9" t="s">
        <v>97</v>
      </c>
      <c r="Q24" s="22">
        <f>F20*P5</f>
        <v>134457.30000000002</v>
      </c>
      <c r="R24" s="9">
        <f>Q24*F19</f>
        <v>16134.876000000002</v>
      </c>
      <c r="S24" s="9">
        <v>0</v>
      </c>
      <c r="T24" s="9"/>
      <c r="U24" s="9"/>
    </row>
    <row r="25" spans="3:21" ht="30" x14ac:dyDescent="0.25">
      <c r="H25" s="1">
        <v>4</v>
      </c>
      <c r="I25" s="9" t="s">
        <v>55</v>
      </c>
      <c r="J25" s="1" t="s">
        <v>61</v>
      </c>
      <c r="M25" s="9">
        <v>4</v>
      </c>
      <c r="N25" s="9">
        <v>5</v>
      </c>
      <c r="O25" s="9">
        <v>4</v>
      </c>
      <c r="P25" s="9" t="s">
        <v>98</v>
      </c>
      <c r="Q25" s="9"/>
      <c r="R25" s="9"/>
      <c r="S25" s="9"/>
      <c r="T25" s="9"/>
      <c r="U25" s="9"/>
    </row>
    <row r="26" spans="3:21" ht="30" x14ac:dyDescent="0.25">
      <c r="H26" s="10">
        <v>5</v>
      </c>
      <c r="I26" s="9" t="s">
        <v>56</v>
      </c>
      <c r="J26" s="1" t="s">
        <v>62</v>
      </c>
    </row>
    <row r="27" spans="3:21" ht="30" x14ac:dyDescent="0.25">
      <c r="H27" s="10">
        <v>6</v>
      </c>
      <c r="I27" s="9" t="s">
        <v>57</v>
      </c>
      <c r="J27" s="1" t="s">
        <v>63</v>
      </c>
    </row>
  </sheetData>
  <mergeCells count="8">
    <mergeCell ref="N3:R3"/>
    <mergeCell ref="M12:Q12"/>
    <mergeCell ref="M20:U20"/>
    <mergeCell ref="C3:L3"/>
    <mergeCell ref="C12:D12"/>
    <mergeCell ref="C17:F17"/>
    <mergeCell ref="H12:K12"/>
    <mergeCell ref="H20:J20"/>
  </mergeCells>
  <hyperlinks>
    <hyperlink ref="F5" r:id="rId1"/>
    <hyperlink ref="F6" r:id="rId2"/>
    <hyperlink ref="F7" r:id="rId3"/>
    <hyperlink ref="F8" r:id="rId4"/>
    <hyperlink ref="F9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2025-03-08T16:58:03Z</dcterms:modified>
</cp:coreProperties>
</file>